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_Semestre 2 - 2026-UAM\3. Tecnologías de Gestión de la Información\Semana 5\"/>
    </mc:Choice>
  </mc:AlternateContent>
  <xr:revisionPtr revIDLastSave="0" documentId="8_{A0E4C534-ECC8-4656-B76D-682F64D5CE4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Datos_Importación!$A$1:$I$51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6" i="3"/>
  <c r="B5" i="3"/>
  <c r="B3" i="3"/>
  <c r="L7" i="2"/>
  <c r="L6" i="2"/>
  <c r="L5" i="2"/>
  <c r="L4" i="2"/>
  <c r="I2" i="2" a="1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<sst xmlns="http://schemas.openxmlformats.org/spreadsheetml/2006/main" count="224" uniqueCount="135">
  <si>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</si>
  <si>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</si>
  <si>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</si>
  <si>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</si>
  <si>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</si>
  <si>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</si>
  <si>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</si>
  <si>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</si>
  <si>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</si>
  <si>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</si>
  <si>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</si>
  <si>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</si>
  <si>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</si>
  <si>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</si>
  <si>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</si>
  <si>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x</t>
  </si>
  <si>
    <t>Resultados</t>
  </si>
  <si>
    <t>MEX-003</t>
  </si>
  <si>
    <t>Salsa de tomate</t>
  </si>
  <si>
    <t>Importe Total de la Operación</t>
  </si>
  <si>
    <t>MEX-004</t>
  </si>
  <si>
    <t>Atún enlatado</t>
  </si>
  <si>
    <t>Precio Promedio de los Productos</t>
  </si>
  <si>
    <t>MEX-005</t>
  </si>
  <si>
    <t>Aceite vegetal</t>
  </si>
  <si>
    <t>Cantidad de Productos Registrados</t>
  </si>
  <si>
    <t>MEX-006</t>
  </si>
  <si>
    <t>Cereal de maíz</t>
  </si>
  <si>
    <t>Importe Correspondiente a los Productos de México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</si>
  <si>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</si>
  <si>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</si>
  <si>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</si>
  <si>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</si>
  <si>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</si>
  <si>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</si>
  <si>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</si>
  <si>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</si>
  <si>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</si>
  <si>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</si>
  <si>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</si>
  <si>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</si>
  <si>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</si>
  <si>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</si>
  <si>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</si>
  <si>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</si>
  <si>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</si>
  <si>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</si>
  <si>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</si>
  <si>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</si>
  <si>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</si>
  <si>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</si>
  <si>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</si>
  <si>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</si>
  <si>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</si>
  <si>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</si>
  <si>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</si>
  <si>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</si>
  <si>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</si>
  <si>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</si>
  <si>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</si>
  <si>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</si>
  <si>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</si>
  <si>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</si>
  <si>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</si>
  <si>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</si>
  <si>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</si>
  <si>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</si>
  <si>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</si>
  <si>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</si>
  <si>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</si>
  <si>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</si>
  <si>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</si>
  <si>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</si>
  <si>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</si>
  <si>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</si>
  <si>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</si>
  <si>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</si>
  <si>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</si>
  <si>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</si>
  <si>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</si>
  <si>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</si>
  <si>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</si>
  <si>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</si>
  <si>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</si>
  <si>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</si>
  <si>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</si>
  <si>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</si>
  <si>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</si>
  <si>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</si>
  <si>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</si>
  <si>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</si>
  <si>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</si>
  <si>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</si>
  <si>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</si>
  <si>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</si>
  <si>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</si>
  <si>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</si>
  <si>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</si>
  <si>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</si>
  <si>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</si>
  <si>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</si>
  <si>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</si>
  <si>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</si>
  <si>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</si>
  <si>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</si>
  <si>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</si>
  <si>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</si>
  <si>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</si>
  <si>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</si>
  <si>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</si>
  <si>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</si>
  <si>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</si>
  <si>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</si>
  <si>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</si>
  <si>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</si>
  <si>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</si>
  <si>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</si>
  <si>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</si>
  <si>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</si>
  <si>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</si>
  <si>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</si>
  <si>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</si>
  <si>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</si>
  <si>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</si>
  <si>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</si>
  <si>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</si>
  <si>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RESULTADOS</t>
  </si>
  <si>
    <t>Preguntas</t>
  </si>
  <si>
    <t>Respuestas</t>
  </si>
  <si>
    <t>1. ¿Cuál es el importe total de la operación?</t>
  </si>
  <si>
    <t>2. ¿Cuál es el producto con mayor importe?</t>
  </si>
  <si>
    <t>3. ¿Cuál es el precio promedio?</t>
  </si>
  <si>
    <t>4. ¿Cuántos productos están registrados?</t>
  </si>
  <si>
    <t>5. ¿Por qué es importante analizar esta información antes de realizar una operación
comercial?</t>
  </si>
  <si>
    <t>Permite determinar el monto de la transacción, reconocer los artículos de mayor valor, corroborar importes y volúmenes, descubrir anotaciones de procedencia ajena al proceso examinado y tomar determinaciones de negocio con los datos estructurados y fidedignos.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</si>
</sst>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0" borderId="6" xfId="0" applyNumberFormat="1" applyBorder="1"/>
    <xf numFmtId="165" fontId="0" fillId="0" borderId="7" xfId="0" applyNumberFormat="1" applyBorder="1"/>
    <xf numFmtId="1" fontId="0" fillId="0" borderId="7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/>
  </cellXfs>
  <cellStyles count="1">
    <cellStyle name="Normal" xfId="0" builtinId="0"/>
  </cellStyles>
  <dxfs count="10">
    <dxf>
      <numFmt numFmtId="0" formatCode="General"/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/>
    </dxf>
    <dxf>
      <numFmt numFmtId="165" formatCode="&quot;$&quot;#,##0.0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B2EC8-D93E-4E8D-B2D4-86A0E59569F2}" name="Tabla1" displayName="Tabla1" ref="K3:L7" totalsRowShown="0" headerRowDxfId="8" headerRowBorderDxfId="6" tableBorderDxfId="7" totalsRowBorderDxfId="5">
  <autoFilter ref="K3:L7" xr:uid="{54AB2EC8-D93E-4E8D-B2D4-86A0E59569F2}"/>
  <tableColumns count="2">
    <tableColumn id="1" xr3:uid="{E4BC97A7-7843-4942-8162-DC1C236A89DE}" name="x" dataDxfId="4"/>
    <tableColumn id="2" xr3:uid="{6E0158B8-6EDF-4171-9EE0-38B95C11E5E3}" name="Resultados" dataDxfId="3">
      <calculatedColumnFormula>SUM(H2:H51)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3101F-E00F-4E17-A4BB-17EC3CEF62EE}" name="Tabla2" displayName="Tabla2" ref="A2:B7" totalsRowShown="0" headerRowDxfId="2">
  <autoFilter ref="A2:B7" xr:uid="{4EF3101F-E00F-4E17-A4BB-17EC3CEF62EE}"/>
  <tableColumns count="2">
    <tableColumn id="1" xr3:uid="{DC628B56-151D-4A37-8821-EBD863DCB5DA}" name="Preguntas" dataDxfId="1"/>
    <tableColumn id="2" xr3:uid="{40DC839C-75C5-4884-A374-92982BD43FC5}" name="Respuestas" dataDxfId="0">
      <calculatedColumnFormula>Datos_Importación!L4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workbookViewId="0">
      <pane ySplit="1" topLeftCell="A2" activePane="bottomLeft" state="frozen"/>
      <selection pane="bottomLeft" activeCell="K10" sqref="K10"/>
    </sheetView>
  </sheetViews>
  <sheetFormatPr defaultColWidth="8.85546875" defaultRowHeight="15" customHeight="1"/>
  <cols>
    <col min="1" max="1" width="4" style="1" bestFit="1" customWidth="1"/>
    <col min="2" max="2" width="9" style="1" bestFit="1" customWidth="1"/>
    <col min="3" max="3" width="19.42578125" bestFit="1" customWidth="1"/>
    <col min="4" max="4" width="10.42578125" bestFit="1" customWidth="1"/>
    <col min="5" max="5" width="11.140625" style="1" bestFit="1" customWidth="1"/>
    <col min="6" max="6" width="9.140625" bestFit="1" customWidth="1"/>
    <col min="7" max="7" width="20.42578125" bestFit="1" customWidth="1"/>
    <col min="8" max="8" width="19.28515625" bestFit="1" customWidth="1"/>
    <col min="9" max="9" width="15.28515625" bestFit="1" customWidth="1"/>
    <col min="11" max="11" width="47.7109375" bestFit="1" customWidth="1"/>
    <col min="12" max="12" width="13.140625" bestFit="1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2">
      <c r="A2" s="7">
        <v>1</v>
      </c>
      <c r="B2" s="7" t="s">
        <v>9</v>
      </c>
      <c r="C2" s="8" t="s">
        <v>10</v>
      </c>
      <c r="D2" s="8" t="s">
        <v>11</v>
      </c>
      <c r="E2" s="7" t="s">
        <v>12</v>
      </c>
      <c r="F2" s="8">
        <v>120</v>
      </c>
      <c r="G2" s="9">
        <v>4.5</v>
      </c>
      <c r="H2" s="10">
        <f>F2*G2</f>
        <v>540</v>
      </c>
      <c r="I2" s="8" t="str" cm="1">
        <f t="array" ref="I2:I51">IF(H2:H51&gt;1000,"Importe Alto","Importe Normal")</f>
        <v>Importe Normal</v>
      </c>
    </row>
    <row r="3" spans="1:12">
      <c r="A3" s="7">
        <v>2</v>
      </c>
      <c r="B3" s="7" t="s">
        <v>13</v>
      </c>
      <c r="C3" s="8" t="s">
        <v>14</v>
      </c>
      <c r="D3" s="8" t="s">
        <v>11</v>
      </c>
      <c r="E3" s="7" t="s">
        <v>12</v>
      </c>
      <c r="F3" s="8">
        <v>85</v>
      </c>
      <c r="G3" s="9">
        <v>8.75</v>
      </c>
      <c r="H3" s="10">
        <f t="shared" ref="H3:H51" si="0">F3*G3</f>
        <v>743.75</v>
      </c>
      <c r="I3" s="8" t="str">
        <v>Importe Normal</v>
      </c>
      <c r="K3" s="2" t="s">
        <v>15</v>
      </c>
      <c r="L3" s="5" t="s">
        <v>16</v>
      </c>
    </row>
    <row r="4" spans="1:12">
      <c r="A4" s="7">
        <v>3</v>
      </c>
      <c r="B4" s="7" t="s">
        <v>17</v>
      </c>
      <c r="C4" s="8" t="s">
        <v>18</v>
      </c>
      <c r="D4" s="8" t="s">
        <v>11</v>
      </c>
      <c r="E4" s="7" t="s">
        <v>12</v>
      </c>
      <c r="F4" s="8">
        <v>150</v>
      </c>
      <c r="G4" s="9">
        <v>3.2</v>
      </c>
      <c r="H4" s="10">
        <f t="shared" si="0"/>
        <v>480</v>
      </c>
      <c r="I4" s="8" t="str">
        <v>Importe Normal</v>
      </c>
      <c r="K4" s="3" t="s">
        <v>19</v>
      </c>
      <c r="L4" s="11">
        <f t="shared" ref="L4:L7" si="1">SUM(H2:H51)</f>
        <v>40359</v>
      </c>
    </row>
    <row r="5" spans="1:12">
      <c r="A5" s="7">
        <v>4</v>
      </c>
      <c r="B5" s="7" t="s">
        <v>20</v>
      </c>
      <c r="C5" s="8" t="s">
        <v>21</v>
      </c>
      <c r="D5" s="8" t="s">
        <v>11</v>
      </c>
      <c r="E5" s="7" t="s">
        <v>12</v>
      </c>
      <c r="F5" s="8">
        <v>200</v>
      </c>
      <c r="G5" s="9">
        <v>2.85</v>
      </c>
      <c r="H5" s="10">
        <f t="shared" si="0"/>
        <v>570</v>
      </c>
      <c r="I5" s="8" t="str">
        <v>Importe Normal</v>
      </c>
      <c r="K5" s="3" t="s">
        <v>22</v>
      </c>
      <c r="L5" s="11">
        <f>AVERAGE(G2:G51)</f>
        <v>7.7420000000000009</v>
      </c>
    </row>
    <row r="6" spans="1:12">
      <c r="A6" s="7">
        <v>5</v>
      </c>
      <c r="B6" s="7" t="s">
        <v>23</v>
      </c>
      <c r="C6" s="8" t="s">
        <v>24</v>
      </c>
      <c r="D6" s="8" t="s">
        <v>11</v>
      </c>
      <c r="E6" s="7" t="s">
        <v>12</v>
      </c>
      <c r="F6" s="8">
        <v>180</v>
      </c>
      <c r="G6" s="9">
        <v>5.4</v>
      </c>
      <c r="H6" s="10">
        <f t="shared" si="0"/>
        <v>972.00000000000011</v>
      </c>
      <c r="I6" s="8" t="str">
        <v>Importe Normal</v>
      </c>
      <c r="K6" s="4" t="s">
        <v>25</v>
      </c>
      <c r="L6" s="13">
        <f>COUNTA(C2:C51)</f>
        <v>50</v>
      </c>
    </row>
    <row r="7" spans="1:12">
      <c r="A7" s="7">
        <v>6</v>
      </c>
      <c r="B7" s="7" t="s">
        <v>26</v>
      </c>
      <c r="C7" s="8" t="s">
        <v>27</v>
      </c>
      <c r="D7" s="8" t="s">
        <v>11</v>
      </c>
      <c r="E7" s="7" t="s">
        <v>12</v>
      </c>
      <c r="F7" s="8">
        <v>95</v>
      </c>
      <c r="G7" s="9">
        <v>6.8</v>
      </c>
      <c r="H7" s="10">
        <f t="shared" si="0"/>
        <v>646</v>
      </c>
      <c r="I7" s="8" t="str">
        <v>Importe Normal</v>
      </c>
      <c r="K7" s="4" t="s">
        <v>28</v>
      </c>
      <c r="L7" s="12">
        <f>SUMIF(E2:E51,"México",H2:H51)</f>
        <v>36919.5</v>
      </c>
    </row>
    <row r="8" spans="1:12">
      <c r="A8" s="7">
        <v>7</v>
      </c>
      <c r="B8" s="7" t="s">
        <v>29</v>
      </c>
      <c r="C8" s="8" t="s">
        <v>30</v>
      </c>
      <c r="D8" s="8" t="s">
        <v>11</v>
      </c>
      <c r="E8" s="7" t="s">
        <v>12</v>
      </c>
      <c r="F8" s="8">
        <v>110</v>
      </c>
      <c r="G8" s="9">
        <v>9.5</v>
      </c>
      <c r="H8" s="10">
        <f t="shared" si="0"/>
        <v>1045</v>
      </c>
      <c r="I8" s="8" t="str">
        <v>Importe Alto</v>
      </c>
    </row>
    <row r="9" spans="1:12">
      <c r="A9" s="7">
        <v>8</v>
      </c>
      <c r="B9" s="7" t="s">
        <v>31</v>
      </c>
      <c r="C9" s="8" t="s">
        <v>32</v>
      </c>
      <c r="D9" s="8" t="s">
        <v>11</v>
      </c>
      <c r="E9" s="7" t="s">
        <v>12</v>
      </c>
      <c r="F9" s="8">
        <v>160</v>
      </c>
      <c r="G9" s="9">
        <v>3.75</v>
      </c>
      <c r="H9" s="10">
        <f t="shared" si="0"/>
        <v>600</v>
      </c>
      <c r="I9" s="8" t="str">
        <v>Importe Normal</v>
      </c>
    </row>
    <row r="10" spans="1:12">
      <c r="A10" s="7">
        <v>9</v>
      </c>
      <c r="B10" s="7" t="s">
        <v>33</v>
      </c>
      <c r="C10" s="8" t="s">
        <v>34</v>
      </c>
      <c r="D10" s="8" t="s">
        <v>11</v>
      </c>
      <c r="E10" s="7" t="s">
        <v>12</v>
      </c>
      <c r="F10" s="8">
        <v>130</v>
      </c>
      <c r="G10" s="9">
        <v>4.25</v>
      </c>
      <c r="H10" s="10">
        <f t="shared" si="0"/>
        <v>552.5</v>
      </c>
      <c r="I10" s="8" t="str">
        <v>Importe Normal</v>
      </c>
    </row>
    <row r="11" spans="1:12">
      <c r="A11" s="7">
        <v>10</v>
      </c>
      <c r="B11" s="7" t="s">
        <v>35</v>
      </c>
      <c r="C11" s="8" t="s">
        <v>36</v>
      </c>
      <c r="D11" s="8" t="s">
        <v>11</v>
      </c>
      <c r="E11" s="7" t="s">
        <v>12</v>
      </c>
      <c r="F11" s="8">
        <v>90</v>
      </c>
      <c r="G11" s="9">
        <v>5.6</v>
      </c>
      <c r="H11" s="10">
        <f t="shared" si="0"/>
        <v>503.99999999999994</v>
      </c>
      <c r="I11" s="8" t="str">
        <v>Importe Normal</v>
      </c>
    </row>
    <row r="12" spans="1:12">
      <c r="A12" s="7">
        <v>11</v>
      </c>
      <c r="B12" s="7" t="s">
        <v>37</v>
      </c>
      <c r="C12" s="8" t="s">
        <v>38</v>
      </c>
      <c r="D12" s="8" t="s">
        <v>11</v>
      </c>
      <c r="E12" s="7" t="s">
        <v>12</v>
      </c>
      <c r="F12" s="8">
        <v>75</v>
      </c>
      <c r="G12" s="9">
        <v>7.25</v>
      </c>
      <c r="H12" s="10">
        <f t="shared" si="0"/>
        <v>543.75</v>
      </c>
      <c r="I12" s="8" t="str">
        <v>Importe Normal</v>
      </c>
    </row>
    <row r="13" spans="1:12">
      <c r="A13" s="7">
        <v>12</v>
      </c>
      <c r="B13" s="7" t="s">
        <v>39</v>
      </c>
      <c r="C13" s="8" t="s">
        <v>40</v>
      </c>
      <c r="D13" s="8" t="s">
        <v>11</v>
      </c>
      <c r="E13" s="7" t="s">
        <v>12</v>
      </c>
      <c r="F13" s="8">
        <v>220</v>
      </c>
      <c r="G13" s="9">
        <v>2.9</v>
      </c>
      <c r="H13" s="10">
        <f t="shared" si="0"/>
        <v>638</v>
      </c>
      <c r="I13" s="8" t="str">
        <v>Importe Normal</v>
      </c>
    </row>
    <row r="14" spans="1:12">
      <c r="A14" s="7">
        <v>13</v>
      </c>
      <c r="B14" s="7" t="s">
        <v>41</v>
      </c>
      <c r="C14" s="8" t="s">
        <v>42</v>
      </c>
      <c r="D14" s="8" t="s">
        <v>11</v>
      </c>
      <c r="E14" s="7" t="s">
        <v>12</v>
      </c>
      <c r="F14" s="8">
        <v>250</v>
      </c>
      <c r="G14" s="9">
        <v>2.4</v>
      </c>
      <c r="H14" s="10">
        <f t="shared" si="0"/>
        <v>600</v>
      </c>
      <c r="I14" s="8" t="str">
        <v>Importe Normal</v>
      </c>
    </row>
    <row r="15" spans="1:12">
      <c r="A15" s="7">
        <v>14</v>
      </c>
      <c r="B15" s="7" t="s">
        <v>43</v>
      </c>
      <c r="C15" s="8" t="s">
        <v>44</v>
      </c>
      <c r="D15" s="8" t="s">
        <v>11</v>
      </c>
      <c r="E15" s="7" t="s">
        <v>12</v>
      </c>
      <c r="F15" s="8">
        <v>140</v>
      </c>
      <c r="G15" s="9">
        <v>3.85</v>
      </c>
      <c r="H15" s="10">
        <f t="shared" si="0"/>
        <v>539</v>
      </c>
      <c r="I15" s="8" t="str">
        <v>Importe Normal</v>
      </c>
    </row>
    <row r="16" spans="1:12">
      <c r="A16" s="7">
        <v>15</v>
      </c>
      <c r="B16" s="7" t="s">
        <v>45</v>
      </c>
      <c r="C16" s="8" t="s">
        <v>46</v>
      </c>
      <c r="D16" s="8" t="s">
        <v>11</v>
      </c>
      <c r="E16" s="7" t="s">
        <v>12</v>
      </c>
      <c r="F16" s="8">
        <v>100</v>
      </c>
      <c r="G16" s="9">
        <v>4.9000000000000004</v>
      </c>
      <c r="H16" s="10">
        <f t="shared" si="0"/>
        <v>490.00000000000006</v>
      </c>
      <c r="I16" s="8" t="str">
        <v>Importe Normal</v>
      </c>
    </row>
    <row r="17" spans="1:9">
      <c r="A17" s="7">
        <v>16</v>
      </c>
      <c r="B17" s="7" t="s">
        <v>47</v>
      </c>
      <c r="C17" s="8" t="s">
        <v>48</v>
      </c>
      <c r="D17" s="8" t="s">
        <v>49</v>
      </c>
      <c r="E17" s="7" t="s">
        <v>12</v>
      </c>
      <c r="F17" s="8">
        <v>180</v>
      </c>
      <c r="G17" s="9">
        <v>3.6</v>
      </c>
      <c r="H17" s="10">
        <f t="shared" si="0"/>
        <v>648</v>
      </c>
      <c r="I17" s="8" t="str">
        <v>Importe Normal</v>
      </c>
    </row>
    <row r="18" spans="1:9">
      <c r="A18" s="7">
        <v>17</v>
      </c>
      <c r="B18" s="7" t="s">
        <v>50</v>
      </c>
      <c r="C18" s="8" t="s">
        <v>51</v>
      </c>
      <c r="D18" s="8" t="s">
        <v>49</v>
      </c>
      <c r="E18" s="7" t="s">
        <v>12</v>
      </c>
      <c r="F18" s="8">
        <v>160</v>
      </c>
      <c r="G18" s="9">
        <v>3.25</v>
      </c>
      <c r="H18" s="10">
        <f t="shared" si="0"/>
        <v>520</v>
      </c>
      <c r="I18" s="8" t="str">
        <v>Importe Normal</v>
      </c>
    </row>
    <row r="19" spans="1:9">
      <c r="A19" s="7">
        <v>18</v>
      </c>
      <c r="B19" s="7" t="s">
        <v>52</v>
      </c>
      <c r="C19" s="8" t="s">
        <v>53</v>
      </c>
      <c r="D19" s="8" t="s">
        <v>49</v>
      </c>
      <c r="E19" s="7" t="s">
        <v>12</v>
      </c>
      <c r="F19" s="8">
        <v>300</v>
      </c>
      <c r="G19" s="9">
        <v>1.8</v>
      </c>
      <c r="H19" s="10">
        <f t="shared" si="0"/>
        <v>540</v>
      </c>
      <c r="I19" s="8" t="str">
        <v>Importe Normal</v>
      </c>
    </row>
    <row r="20" spans="1:9">
      <c r="A20" s="7">
        <v>19</v>
      </c>
      <c r="B20" s="7" t="s">
        <v>54</v>
      </c>
      <c r="C20" s="8" t="s">
        <v>55</v>
      </c>
      <c r="D20" s="8" t="s">
        <v>49</v>
      </c>
      <c r="E20" s="7" t="s">
        <v>12</v>
      </c>
      <c r="F20" s="8">
        <v>80</v>
      </c>
      <c r="G20" s="9">
        <v>5.75</v>
      </c>
      <c r="H20" s="10">
        <f t="shared" si="0"/>
        <v>460</v>
      </c>
      <c r="I20" s="8" t="str">
        <v>Importe Normal</v>
      </c>
    </row>
    <row r="21" spans="1:9">
      <c r="A21" s="7">
        <v>20</v>
      </c>
      <c r="B21" s="7" t="s">
        <v>56</v>
      </c>
      <c r="C21" s="8" t="s">
        <v>57</v>
      </c>
      <c r="D21" s="8" t="s">
        <v>49</v>
      </c>
      <c r="E21" s="7" t="s">
        <v>12</v>
      </c>
      <c r="F21" s="8">
        <v>125</v>
      </c>
      <c r="G21" s="9">
        <v>3.95</v>
      </c>
      <c r="H21" s="10">
        <f t="shared" si="0"/>
        <v>493.75</v>
      </c>
      <c r="I21" s="8" t="str">
        <v>Importe Normal</v>
      </c>
    </row>
    <row r="22" spans="1:9">
      <c r="A22" s="7">
        <v>21</v>
      </c>
      <c r="B22" s="7" t="s">
        <v>58</v>
      </c>
      <c r="C22" s="8" t="s">
        <v>59</v>
      </c>
      <c r="D22" s="8" t="s">
        <v>60</v>
      </c>
      <c r="E22" s="7" t="s">
        <v>12</v>
      </c>
      <c r="F22" s="8">
        <v>90</v>
      </c>
      <c r="G22" s="9">
        <v>8.5</v>
      </c>
      <c r="H22" s="10">
        <f t="shared" si="0"/>
        <v>765</v>
      </c>
      <c r="I22" s="8" t="str">
        <v>Importe Normal</v>
      </c>
    </row>
    <row r="23" spans="1:9">
      <c r="A23" s="7">
        <v>22</v>
      </c>
      <c r="B23" s="7" t="s">
        <v>61</v>
      </c>
      <c r="C23" s="8" t="s">
        <v>62</v>
      </c>
      <c r="D23" s="8" t="s">
        <v>60</v>
      </c>
      <c r="E23" s="7" t="s">
        <v>12</v>
      </c>
      <c r="F23" s="8">
        <v>150</v>
      </c>
      <c r="G23" s="9">
        <v>4.8</v>
      </c>
      <c r="H23" s="10">
        <f t="shared" si="0"/>
        <v>720</v>
      </c>
      <c r="I23" s="8" t="str">
        <v>Importe Normal</v>
      </c>
    </row>
    <row r="24" spans="1:9">
      <c r="A24" s="7">
        <v>23</v>
      </c>
      <c r="B24" s="7" t="s">
        <v>63</v>
      </c>
      <c r="C24" s="8" t="s">
        <v>64</v>
      </c>
      <c r="D24" s="8" t="s">
        <v>60</v>
      </c>
      <c r="E24" s="7" t="s">
        <v>12</v>
      </c>
      <c r="F24" s="8">
        <v>130</v>
      </c>
      <c r="G24" s="9">
        <v>5.25</v>
      </c>
      <c r="H24" s="10">
        <f t="shared" si="0"/>
        <v>682.5</v>
      </c>
      <c r="I24" s="8" t="str">
        <v>Importe Normal</v>
      </c>
    </row>
    <row r="25" spans="1:9">
      <c r="A25" s="7">
        <v>24</v>
      </c>
      <c r="B25" s="7" t="s">
        <v>65</v>
      </c>
      <c r="C25" s="8" t="s">
        <v>66</v>
      </c>
      <c r="D25" s="8" t="s">
        <v>60</v>
      </c>
      <c r="E25" s="7" t="s">
        <v>12</v>
      </c>
      <c r="F25" s="8">
        <v>180</v>
      </c>
      <c r="G25" s="9">
        <v>2.95</v>
      </c>
      <c r="H25" s="10">
        <f t="shared" si="0"/>
        <v>531</v>
      </c>
      <c r="I25" s="8" t="str">
        <v>Importe Normal</v>
      </c>
    </row>
    <row r="26" spans="1:9">
      <c r="A26" s="7">
        <v>25</v>
      </c>
      <c r="B26" s="7" t="s">
        <v>67</v>
      </c>
      <c r="C26" s="8" t="s">
        <v>68</v>
      </c>
      <c r="D26" s="8" t="s">
        <v>60</v>
      </c>
      <c r="E26" s="7" t="s">
        <v>12</v>
      </c>
      <c r="F26" s="8">
        <v>100</v>
      </c>
      <c r="G26" s="9">
        <v>7.4</v>
      </c>
      <c r="H26" s="10">
        <f t="shared" si="0"/>
        <v>740</v>
      </c>
      <c r="I26" s="8" t="str">
        <v>Importe Normal</v>
      </c>
    </row>
    <row r="27" spans="1:9">
      <c r="A27" s="7">
        <v>26</v>
      </c>
      <c r="B27" s="7" t="s">
        <v>69</v>
      </c>
      <c r="C27" s="8" t="s">
        <v>70</v>
      </c>
      <c r="D27" s="8" t="s">
        <v>71</v>
      </c>
      <c r="E27" s="7" t="s">
        <v>12</v>
      </c>
      <c r="F27" s="8">
        <v>200</v>
      </c>
      <c r="G27" s="9">
        <v>6.25</v>
      </c>
      <c r="H27" s="10">
        <f t="shared" si="0"/>
        <v>1250</v>
      </c>
      <c r="I27" s="8" t="str">
        <v>Importe Alto</v>
      </c>
    </row>
    <row r="28" spans="1:9">
      <c r="A28" s="7">
        <v>27</v>
      </c>
      <c r="B28" s="7" t="s">
        <v>72</v>
      </c>
      <c r="C28" s="8" t="s">
        <v>73</v>
      </c>
      <c r="D28" s="8" t="s">
        <v>71</v>
      </c>
      <c r="E28" s="7" t="s">
        <v>12</v>
      </c>
      <c r="F28" s="8">
        <v>175</v>
      </c>
      <c r="G28" s="9">
        <v>3.5</v>
      </c>
      <c r="H28" s="10">
        <f t="shared" si="0"/>
        <v>612.5</v>
      </c>
      <c r="I28" s="8" t="str">
        <v>Importe Normal</v>
      </c>
    </row>
    <row r="29" spans="1:9">
      <c r="A29" s="7">
        <v>28</v>
      </c>
      <c r="B29" s="7" t="s">
        <v>74</v>
      </c>
      <c r="C29" s="8" t="s">
        <v>75</v>
      </c>
      <c r="D29" s="8" t="s">
        <v>71</v>
      </c>
      <c r="E29" s="7" t="s">
        <v>12</v>
      </c>
      <c r="F29" s="8">
        <v>120</v>
      </c>
      <c r="G29" s="9">
        <v>4.5999999999999996</v>
      </c>
      <c r="H29" s="10">
        <f t="shared" si="0"/>
        <v>552</v>
      </c>
      <c r="I29" s="8" t="str">
        <v>Importe Normal</v>
      </c>
    </row>
    <row r="30" spans="1:9">
      <c r="A30" s="7">
        <v>29</v>
      </c>
      <c r="B30" s="7" t="s">
        <v>76</v>
      </c>
      <c r="C30" s="8" t="s">
        <v>77</v>
      </c>
      <c r="D30" s="8" t="s">
        <v>71</v>
      </c>
      <c r="E30" s="7" t="s">
        <v>12</v>
      </c>
      <c r="F30" s="8">
        <v>140</v>
      </c>
      <c r="G30" s="9">
        <v>5.15</v>
      </c>
      <c r="H30" s="10">
        <f t="shared" si="0"/>
        <v>721</v>
      </c>
      <c r="I30" s="8" t="str">
        <v>Importe Normal</v>
      </c>
    </row>
    <row r="31" spans="1:9">
      <c r="A31" s="7">
        <v>30</v>
      </c>
      <c r="B31" s="7" t="s">
        <v>78</v>
      </c>
      <c r="C31" s="8" t="s">
        <v>79</v>
      </c>
      <c r="D31" s="8" t="s">
        <v>71</v>
      </c>
      <c r="E31" s="7" t="s">
        <v>12</v>
      </c>
      <c r="F31" s="8">
        <v>160</v>
      </c>
      <c r="G31" s="9">
        <v>4.75</v>
      </c>
      <c r="H31" s="10">
        <f t="shared" si="0"/>
        <v>760</v>
      </c>
      <c r="I31" s="8" t="str">
        <v>Importe Normal</v>
      </c>
    </row>
    <row r="32" spans="1:9">
      <c r="A32" s="7">
        <v>31</v>
      </c>
      <c r="B32" s="7" t="s">
        <v>80</v>
      </c>
      <c r="C32" s="8" t="s">
        <v>81</v>
      </c>
      <c r="D32" s="8" t="s">
        <v>82</v>
      </c>
      <c r="E32" s="7" t="s">
        <v>12</v>
      </c>
      <c r="F32" s="8">
        <v>250</v>
      </c>
      <c r="G32" s="9">
        <v>2.75</v>
      </c>
      <c r="H32" s="10">
        <f t="shared" si="0"/>
        <v>687.5</v>
      </c>
      <c r="I32" s="8" t="str">
        <v>Importe Normal</v>
      </c>
    </row>
    <row r="33" spans="1:9">
      <c r="A33" s="7">
        <v>32</v>
      </c>
      <c r="B33" s="7" t="s">
        <v>83</v>
      </c>
      <c r="C33" s="8" t="s">
        <v>84</v>
      </c>
      <c r="D33" s="8" t="s">
        <v>82</v>
      </c>
      <c r="E33" s="7" t="s">
        <v>12</v>
      </c>
      <c r="F33" s="8">
        <v>180</v>
      </c>
      <c r="G33" s="9">
        <v>3.2</v>
      </c>
      <c r="H33" s="10">
        <f t="shared" si="0"/>
        <v>576</v>
      </c>
      <c r="I33" s="8" t="str">
        <v>Importe Normal</v>
      </c>
    </row>
    <row r="34" spans="1:9">
      <c r="A34" s="7">
        <v>33</v>
      </c>
      <c r="B34" s="7" t="s">
        <v>85</v>
      </c>
      <c r="C34" s="8" t="s">
        <v>86</v>
      </c>
      <c r="D34" s="8" t="s">
        <v>82</v>
      </c>
      <c r="E34" s="7" t="s">
        <v>12</v>
      </c>
      <c r="F34" s="8">
        <v>300</v>
      </c>
      <c r="G34" s="9">
        <v>1.5</v>
      </c>
      <c r="H34" s="10">
        <f t="shared" si="0"/>
        <v>450</v>
      </c>
      <c r="I34" s="8" t="str">
        <v>Importe Normal</v>
      </c>
    </row>
    <row r="35" spans="1:9">
      <c r="A35" s="7">
        <v>34</v>
      </c>
      <c r="B35" s="7" t="s">
        <v>87</v>
      </c>
      <c r="C35" s="8" t="s">
        <v>88</v>
      </c>
      <c r="D35" s="8" t="s">
        <v>82</v>
      </c>
      <c r="E35" s="7" t="s">
        <v>12</v>
      </c>
      <c r="F35" s="8">
        <v>150</v>
      </c>
      <c r="G35" s="9">
        <v>2.9</v>
      </c>
      <c r="H35" s="10">
        <f t="shared" si="0"/>
        <v>435</v>
      </c>
      <c r="I35" s="8" t="str">
        <v>Importe Normal</v>
      </c>
    </row>
    <row r="36" spans="1:9">
      <c r="A36" s="7">
        <v>35</v>
      </c>
      <c r="B36" s="7" t="s">
        <v>89</v>
      </c>
      <c r="C36" s="8" t="s">
        <v>90</v>
      </c>
      <c r="D36" s="8" t="s">
        <v>82</v>
      </c>
      <c r="E36" s="7" t="s">
        <v>12</v>
      </c>
      <c r="F36" s="8">
        <v>100</v>
      </c>
      <c r="G36" s="9">
        <v>7.8</v>
      </c>
      <c r="H36" s="10">
        <f t="shared" si="0"/>
        <v>780</v>
      </c>
      <c r="I36" s="8" t="str">
        <v>Importe Normal</v>
      </c>
    </row>
    <row r="37" spans="1:9">
      <c r="A37" s="7">
        <v>36</v>
      </c>
      <c r="B37" s="7" t="s">
        <v>91</v>
      </c>
      <c r="C37" s="8" t="s">
        <v>92</v>
      </c>
      <c r="D37" s="8" t="s">
        <v>82</v>
      </c>
      <c r="E37" s="7" t="s">
        <v>12</v>
      </c>
      <c r="F37" s="8">
        <v>70</v>
      </c>
      <c r="G37" s="9">
        <v>12.5</v>
      </c>
      <c r="H37" s="10">
        <f t="shared" si="0"/>
        <v>875</v>
      </c>
      <c r="I37" s="8" t="str">
        <v>Importe Normal</v>
      </c>
    </row>
    <row r="38" spans="1:9">
      <c r="A38" s="7">
        <v>37</v>
      </c>
      <c r="B38" s="7" t="s">
        <v>93</v>
      </c>
      <c r="C38" s="8" t="s">
        <v>94</v>
      </c>
      <c r="D38" s="8" t="s">
        <v>95</v>
      </c>
      <c r="E38" s="7" t="s">
        <v>12</v>
      </c>
      <c r="F38" s="8">
        <v>80</v>
      </c>
      <c r="G38" s="9">
        <v>11.75</v>
      </c>
      <c r="H38" s="10">
        <f t="shared" si="0"/>
        <v>940</v>
      </c>
      <c r="I38" s="8" t="str">
        <v>Importe Normal</v>
      </c>
    </row>
    <row r="39" spans="1:9">
      <c r="A39" s="7">
        <v>38</v>
      </c>
      <c r="B39" s="7" t="s">
        <v>96</v>
      </c>
      <c r="C39" s="8" t="s">
        <v>97</v>
      </c>
      <c r="D39" s="8" t="s">
        <v>95</v>
      </c>
      <c r="E39" s="7" t="s">
        <v>12</v>
      </c>
      <c r="F39" s="8">
        <v>60</v>
      </c>
      <c r="G39" s="9">
        <v>15.5</v>
      </c>
      <c r="H39" s="10">
        <f t="shared" si="0"/>
        <v>930</v>
      </c>
      <c r="I39" s="8" t="str">
        <v>Importe Normal</v>
      </c>
    </row>
    <row r="40" spans="1:9">
      <c r="A40" s="7">
        <v>39</v>
      </c>
      <c r="B40" s="7" t="s">
        <v>98</v>
      </c>
      <c r="C40" s="8" t="s">
        <v>99</v>
      </c>
      <c r="D40" s="8" t="s">
        <v>95</v>
      </c>
      <c r="E40" s="7" t="s">
        <v>12</v>
      </c>
      <c r="F40" s="8">
        <v>75</v>
      </c>
      <c r="G40" s="9">
        <v>13.25</v>
      </c>
      <c r="H40" s="10">
        <f t="shared" si="0"/>
        <v>993.75</v>
      </c>
      <c r="I40" s="8" t="str">
        <v>Importe Normal</v>
      </c>
    </row>
    <row r="41" spans="1:9">
      <c r="A41" s="7">
        <v>40</v>
      </c>
      <c r="B41" s="7" t="s">
        <v>100</v>
      </c>
      <c r="C41" s="8" t="s">
        <v>101</v>
      </c>
      <c r="D41" s="8" t="s">
        <v>95</v>
      </c>
      <c r="E41" s="7" t="s">
        <v>12</v>
      </c>
      <c r="F41" s="8">
        <v>90</v>
      </c>
      <c r="G41" s="9">
        <v>18.5</v>
      </c>
      <c r="H41" s="10">
        <f t="shared" si="0"/>
        <v>1665</v>
      </c>
      <c r="I41" s="8" t="str">
        <v>Importe Alto</v>
      </c>
    </row>
    <row r="42" spans="1:9">
      <c r="A42" s="7">
        <v>41</v>
      </c>
      <c r="B42" s="7" t="s">
        <v>102</v>
      </c>
      <c r="C42" s="8" t="s">
        <v>103</v>
      </c>
      <c r="D42" s="8" t="s">
        <v>95</v>
      </c>
      <c r="E42" s="7" t="s">
        <v>12</v>
      </c>
      <c r="F42" s="8">
        <v>100</v>
      </c>
      <c r="G42" s="9">
        <v>9.75</v>
      </c>
      <c r="H42" s="10">
        <f t="shared" si="0"/>
        <v>975</v>
      </c>
      <c r="I42" s="8" t="str">
        <v>Importe Normal</v>
      </c>
    </row>
    <row r="43" spans="1:9">
      <c r="A43" s="7">
        <v>42</v>
      </c>
      <c r="B43" s="7" t="s">
        <v>104</v>
      </c>
      <c r="C43" s="8" t="s">
        <v>105</v>
      </c>
      <c r="D43" s="8" t="s">
        <v>95</v>
      </c>
      <c r="E43" s="7" t="s">
        <v>12</v>
      </c>
      <c r="F43" s="8">
        <v>120</v>
      </c>
      <c r="G43" s="9">
        <v>7.5</v>
      </c>
      <c r="H43" s="10">
        <f t="shared" si="0"/>
        <v>900</v>
      </c>
      <c r="I43" s="8" t="str">
        <v>Importe Normal</v>
      </c>
    </row>
    <row r="44" spans="1:9">
      <c r="A44" s="7">
        <v>43</v>
      </c>
      <c r="B44" s="7" t="s">
        <v>106</v>
      </c>
      <c r="C44" s="8" t="s">
        <v>107</v>
      </c>
      <c r="D44" s="8" t="s">
        <v>108</v>
      </c>
      <c r="E44" s="7" t="s">
        <v>12</v>
      </c>
      <c r="F44" s="8">
        <v>85</v>
      </c>
      <c r="G44" s="9">
        <v>22.5</v>
      </c>
      <c r="H44" s="10">
        <f t="shared" si="0"/>
        <v>1912.5</v>
      </c>
      <c r="I44" s="8" t="str">
        <v>Importe Alto</v>
      </c>
    </row>
    <row r="45" spans="1:9">
      <c r="A45" s="7">
        <v>44</v>
      </c>
      <c r="B45" s="7" t="s">
        <v>109</v>
      </c>
      <c r="C45" s="8" t="s">
        <v>110</v>
      </c>
      <c r="D45" s="8" t="s">
        <v>108</v>
      </c>
      <c r="E45" s="7" t="s">
        <v>12</v>
      </c>
      <c r="F45" s="8">
        <v>60</v>
      </c>
      <c r="G45" s="9">
        <v>28</v>
      </c>
      <c r="H45" s="10">
        <f t="shared" si="0"/>
        <v>1680</v>
      </c>
      <c r="I45" s="8" t="str">
        <v>Importe Alto</v>
      </c>
    </row>
    <row r="46" spans="1:9">
      <c r="A46" s="7">
        <v>45</v>
      </c>
      <c r="B46" s="7" t="s">
        <v>111</v>
      </c>
      <c r="C46" s="8" t="s">
        <v>112</v>
      </c>
      <c r="D46" s="8" t="s">
        <v>108</v>
      </c>
      <c r="E46" s="7" t="s">
        <v>113</v>
      </c>
      <c r="F46" s="8">
        <v>120</v>
      </c>
      <c r="G46" s="9">
        <v>8.75</v>
      </c>
      <c r="H46" s="10">
        <f t="shared" si="0"/>
        <v>1050</v>
      </c>
      <c r="I46" s="8" t="str">
        <v>Importe Alto</v>
      </c>
    </row>
    <row r="47" spans="1:9">
      <c r="A47" s="7">
        <v>46</v>
      </c>
      <c r="B47" s="7" t="s">
        <v>114</v>
      </c>
      <c r="C47" s="8" t="s">
        <v>115</v>
      </c>
      <c r="D47" s="8" t="s">
        <v>108</v>
      </c>
      <c r="E47" s="7" t="s">
        <v>116</v>
      </c>
      <c r="F47" s="8">
        <v>90</v>
      </c>
      <c r="G47" s="9">
        <v>12.8</v>
      </c>
      <c r="H47" s="10">
        <f t="shared" si="0"/>
        <v>1152</v>
      </c>
      <c r="I47" s="8" t="str">
        <v>Importe Alto</v>
      </c>
    </row>
    <row r="48" spans="1:9">
      <c r="A48" s="7">
        <v>47</v>
      </c>
      <c r="B48" s="7" t="s">
        <v>117</v>
      </c>
      <c r="C48" s="8" t="s">
        <v>118</v>
      </c>
      <c r="D48" s="8" t="s">
        <v>108</v>
      </c>
      <c r="E48" s="7" t="s">
        <v>119</v>
      </c>
      <c r="F48" s="8">
        <v>75</v>
      </c>
      <c r="G48" s="9">
        <v>16.5</v>
      </c>
      <c r="H48" s="10">
        <f t="shared" si="0"/>
        <v>1237.5</v>
      </c>
      <c r="I48" s="8" t="str">
        <v>Importe Alto</v>
      </c>
    </row>
    <row r="49" spans="1:9">
      <c r="A49" s="7">
        <v>48</v>
      </c>
      <c r="B49" s="7" t="s">
        <v>120</v>
      </c>
      <c r="C49" s="8" t="s">
        <v>121</v>
      </c>
      <c r="D49" s="8" t="s">
        <v>108</v>
      </c>
      <c r="E49" s="7" t="s">
        <v>12</v>
      </c>
      <c r="F49" s="8">
        <v>110</v>
      </c>
      <c r="G49" s="9">
        <v>9.25</v>
      </c>
      <c r="H49" s="10">
        <f t="shared" si="0"/>
        <v>1017.5</v>
      </c>
      <c r="I49" s="8" t="str">
        <v>Importe Alto</v>
      </c>
    </row>
    <row r="50" spans="1:9">
      <c r="A50" s="7">
        <v>49</v>
      </c>
      <c r="B50" s="7" t="s">
        <v>122</v>
      </c>
      <c r="C50" s="8" t="s">
        <v>123</v>
      </c>
      <c r="D50" s="8" t="s">
        <v>108</v>
      </c>
      <c r="E50" s="7" t="s">
        <v>12</v>
      </c>
      <c r="F50" s="8">
        <v>65</v>
      </c>
      <c r="G50" s="9">
        <v>24.5</v>
      </c>
      <c r="H50" s="10">
        <f t="shared" si="0"/>
        <v>1592.5</v>
      </c>
      <c r="I50" s="8" t="str">
        <v>Importe Alto</v>
      </c>
    </row>
    <row r="51" spans="1:9">
      <c r="A51" s="7">
        <v>50</v>
      </c>
      <c r="B51" s="7" t="s">
        <v>124</v>
      </c>
      <c r="C51" s="8" t="s">
        <v>125</v>
      </c>
      <c r="D51" s="8" t="s">
        <v>71</v>
      </c>
      <c r="E51" s="7" t="s">
        <v>12</v>
      </c>
      <c r="F51" s="8">
        <v>100</v>
      </c>
      <c r="G51" s="9">
        <v>10.5</v>
      </c>
      <c r="H51" s="10">
        <f t="shared" si="0"/>
        <v>1050</v>
      </c>
      <c r="I51" s="8" t="str">
        <v>Importe Alto</v>
      </c>
    </row>
  </sheetData>
  <conditionalFormatting sqref="I1:I51">
    <cfRule type="containsText" dxfId="9" priority="1" operator="containsText" text="Importe Alto">
      <formula>NOT(ISERROR(SEARCH("Importe Alto",I1)))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75F8-94AA-43BC-8518-77FCCF92CA91}">
  <dimension ref="A1:E7"/>
  <sheetViews>
    <sheetView tabSelected="1" workbookViewId="0">
      <selection sqref="A1:B1"/>
    </sheetView>
  </sheetViews>
  <sheetFormatPr defaultRowHeight="15"/>
  <cols>
    <col min="1" max="1" width="40.28515625" bestFit="1" customWidth="1"/>
    <col min="2" max="2" width="81.42578125" bestFit="1" customWidth="1"/>
  </cols>
  <sheetData>
    <row r="1" spans="1:5" ht="21">
      <c r="A1" s="14" t="s">
        <v>126</v>
      </c>
      <c r="B1" s="14"/>
      <c r="C1" s="20"/>
      <c r="D1" s="1"/>
      <c r="E1" s="1"/>
    </row>
    <row r="2" spans="1:5">
      <c r="A2" s="1" t="s">
        <v>127</v>
      </c>
      <c r="B2" s="1" t="s">
        <v>128</v>
      </c>
    </row>
    <row r="3" spans="1:5">
      <c r="A3" s="15" t="s">
        <v>129</v>
      </c>
      <c r="B3" s="17">
        <f>Datos_Importación!L4</f>
        <v>40359</v>
      </c>
    </row>
    <row r="4" spans="1:5">
      <c r="A4" s="15" t="s">
        <v>130</v>
      </c>
      <c r="B4" s="1" t="str">
        <f>INDEX(Datos_Importación!C2:C51,MATCH(MAX(Datos_Importación!H2:H51),Datos_Importación!H2:H51,0))</f>
        <v>Mochilas</v>
      </c>
    </row>
    <row r="5" spans="1:5">
      <c r="A5" s="15" t="s">
        <v>131</v>
      </c>
      <c r="B5" s="17">
        <f>Tabla1[[#This Row],[Resultados]]</f>
        <v>7.7420000000000009</v>
      </c>
    </row>
    <row r="6" spans="1:5">
      <c r="A6" s="15" t="s">
        <v>132</v>
      </c>
      <c r="B6" s="18">
        <f>Tabla1[[#This Row],[Resultados]]</f>
        <v>50</v>
      </c>
    </row>
    <row r="7" spans="1:5" ht="47.25" customHeight="1">
      <c r="A7" s="16" t="s">
        <v>133</v>
      </c>
      <c r="B7" s="19" t="s">
        <v>134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2026-09-15T18:58:39Z</dcterms:created>
  <dcterms:modified xsi:type="dcterms:W3CDTF">2026-09-19T02:44:37Z</dcterms:modified>
  <cp:category/>
  <cp:contentStatus/>
</cp:coreProperties>
</file>